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wildcat.sharepoint.com/teams/ILab-26F-InnovationLab-EarlyCaseMgmtandBenchMemos-JudgeRodriguez/Shared Documents/Work Product/"/>
    </mc:Choice>
  </mc:AlternateContent>
  <xr:revisionPtr revIDLastSave="306" documentId="11_629307558323BF0F900E0D840B739F842C73F935" xr6:coauthVersionLast="47" xr6:coauthVersionMax="47" xr10:uidLastSave="{3170E61B-7741-A94B-B5B1-102042F5D656}"/>
  <bookViews>
    <workbookView xWindow="0" yWindow="680" windowWidth="34200" windowHeight="214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4" i="1" l="1"/>
  <c r="M4" i="1"/>
  <c r="L4" i="1"/>
  <c r="J4" i="1"/>
  <c r="I4" i="1"/>
  <c r="G4" i="1"/>
  <c r="B4" i="1"/>
</calcChain>
</file>

<file path=xl/sharedStrings.xml><?xml version="1.0" encoding="utf-8"?>
<sst xmlns="http://schemas.openxmlformats.org/spreadsheetml/2006/main" count="262" uniqueCount="250">
  <si>
    <t xml:space="preserve">Common Questions: For each type of case, what questions are most important in the beginning? Which questions, if answered, may lead to a dismissal or quick settlement? </t>
  </si>
  <si>
    <t>Case Type</t>
  </si>
  <si>
    <t>Contract</t>
  </si>
  <si>
    <t>IP - Patent Litigation</t>
  </si>
  <si>
    <t>IP - Copyright</t>
  </si>
  <si>
    <t>IP - Trade Secrets</t>
  </si>
  <si>
    <t>IP - Trademarks</t>
  </si>
  <si>
    <t>Civil Rights</t>
  </si>
  <si>
    <t>Other Personal Injury</t>
  </si>
  <si>
    <t>Real Property</t>
  </si>
  <si>
    <t>Social Security</t>
  </si>
  <si>
    <t>Motor Vehicle Personal Injury</t>
  </si>
  <si>
    <t>Labor Suits</t>
  </si>
  <si>
    <t>Tort Actions (non-personal injury)</t>
  </si>
  <si>
    <t>Forfeitures and Penalties</t>
  </si>
  <si>
    <t>Number in W.D. Tex.</t>
  </si>
  <si>
    <t>Total IP - 628</t>
  </si>
  <si>
    <t>Assigned Student</t>
  </si>
  <si>
    <t>MG</t>
  </si>
  <si>
    <t>AP</t>
  </si>
  <si>
    <t>DJ</t>
  </si>
  <si>
    <t>Questions</t>
  </si>
  <si>
    <t>Is there an enforceable contract? Look for offer, acceptance, consideration, and definite terms. Is it written, oral, or implied?</t>
  </si>
  <si>
    <t>Can a § 101 challenge be decided on Rule 12 or Rule 12(c) before claim construction or discovery?</t>
  </si>
  <si>
    <t>Is the asserted work a United States work that required registration or refusal before the federal infringement action was filed?</t>
  </si>
  <si>
    <t>Does the complaint identify each alleged trade secret with enough specificity to distinguish it from general know-how, skill, or broad business categories?</t>
  </si>
  <si>
    <t>Does the plaintiff actually own the asserted mark, or is it merely a licensee, distributor, affiliate, predecessor, or related entity without enforcement rights?</t>
  </si>
  <si>
    <t>Can the plaintiff establish no objectively compensable injury, no admissible expert proof of causation, or no legally recoverable damages category required for this type of personal-injury claim?</t>
  </si>
  <si>
    <t>What is the chain of title? Get the deed, title insurance policy, survey, and recorded instruments.</t>
  </si>
  <si>
    <t>Is there a final decision of the Commissioner made after a hearing that is reviewable under 42 U.S.C. § 405(g)?</t>
  </si>
  <si>
    <t>Is the worker an employee or an independent contractor? Which employer entity is responsible, and could there be joint employer liability?</t>
  </si>
  <si>
    <t>Do the contract's own terms answer the dispute? Get the full signed document, all amendments, and any related course of dealing.</t>
  </si>
  <si>
    <t>Does the complaint identify the accused products or activity with enough factual content to give fair notice of the infringement theory?</t>
  </si>
  <si>
    <t>Has the Copyright Office actually registered the claim, refused registration, or preregistered the work, rather than merely received an application?</t>
  </si>
  <si>
    <t>Was the alleged trade secret publicly disclosed in a patent, patent application, user manual, website, marketing material, court filing, regulatory filing, conference paper, or public repository?</t>
  </si>
  <si>
    <t>For a Section 32 registered-mark claim, is the plaintiff the registrant or valid assignee of the registration?</t>
  </si>
  <si>
    <t>Has the applicable statute of limitations expired based on the injury date, discovery date, or any governing tolling rule?</t>
  </si>
  <si>
    <t>What kind of dispute is it: title or quiet title, boundary or easement, landlord-tenant, purchase contract, construction or lien, HOA, or eminent domain?</t>
  </si>
  <si>
    <t>Did the claimant actually present the benefits claim to SSA before filing suit?</t>
  </si>
  <si>
    <t>What are the claims: discrimination or retaliation (Title VII, ADA, ADEA), wage and hour (FLSA or state law), wrongful termination, contract, or union matters (NLRA)?</t>
  </si>
  <si>
    <t>What exactly was breached? Was the claimant performing its own obligations?</t>
  </si>
  <si>
    <t>Has the patentee plausibly alleged direct infringement, knowledge of the patent, and specific intent to encourage another’s infringement?</t>
  </si>
  <si>
    <t>If registration was refused, did the plaintiff serve the Register of Copyrights with notice and a copy of the complaint?</t>
  </si>
  <si>
    <t>Was the alleged trade secret readily ascertainable through proper means, such as lawful reverse engineering, public inspection, industry research, or publicly available documentation?</t>
  </si>
  <si>
    <t>Was the asserted mark assigned with the associated goodwill, or is there an invalid assignment in gross?</t>
  </si>
  <si>
    <t>Is the claim barred by a statute of repose regardless of when the injury was discovered?</t>
  </si>
  <si>
    <t>What do the recorded documents say: covenants, easements, plats, and the lease?</t>
  </si>
  <si>
    <t>Did the claimant complete the required administrative review steps, including Appeals Council review, before filing in federal court?</t>
  </si>
  <si>
    <t>Is the employment at-will? Is there an employment contract, collective bargaining agreement (CBA), or handbook promise?</t>
  </si>
  <si>
    <t>What damages can be proven, and are they recoverable? Look at expectation, reliance, and consequential damages, and whether the claimant tried to limit its losses (mitigation).</t>
  </si>
  <si>
    <t>Is the plaintiff a “patentee,” successor in title, or assignee holding all substantial rights at the time suit is filed?</t>
  </si>
  <si>
    <t>Does the registration certificate contain knowingly inaccurate information that would have caused the Copyright Office to refuse registration?</t>
  </si>
  <si>
    <t>Did the plaintiff distribute the alleged secret to customers, vendors, investors, contractors, or other third parties without a written confidentiality obligation?</t>
  </si>
  <si>
    <t>Has the plaintiff used the asserted mark in commerce for the goods or services at issue?</t>
  </si>
  <si>
    <t>Did the plaintiff fail to satisfy a mandatory pre-suit notice requirement before suing a governmental, municipal, school, transit, hospital, or public-authority defendant?</t>
  </si>
  <si>
    <t>Who is actually in possession, for how long, and on what terms?</t>
  </si>
  <si>
    <t>Is the lawsuit premature because an ALJ hearing, Appeals Council request, or post-remand administrative proceeding is still pending?</t>
  </si>
  <si>
    <t>What does the documentation show: performance reviews, discipline, the reasons given for termination, and the timing compared to any protected activity?</t>
  </si>
  <si>
    <t>Who are the right parties? Consider privity, assignment, guarantors, and corporate veil issues.</t>
  </si>
  <si>
    <t>If the plaintiff is an exclusive licensee, has the patent owner been joined or can joinder cure the defect?</t>
  </si>
  <si>
    <t>Was the alleged infringement of an unpublished work commenced before registration, barring statutory damages and attorney fees?</t>
  </si>
  <si>
    <t>Did the plaintiff fail to mark the alleged trade secret as confidential or otherwise treat it consistently as confidential?</t>
  </si>
  <si>
    <t>Is the defendant’s challenged use actually “use as a mark,” or is it merely descriptive, referential, informational, ornamental, or part of expressive content?</t>
  </si>
  <si>
    <t>Is the defendant protected by sovereign, governmental, municipal, discretionary-function, official, qualified, or public-duty immunity?</t>
  </si>
  <si>
    <t>Are there zoning, land-use, or permitting issues?</t>
  </si>
  <si>
    <t>If the plaintiff skipped an administrative step, is there a valid basis to waive or excuse exhaustion, such as a collateral constitutional claim, futility, or irreparable harm?</t>
  </si>
  <si>
    <t>What do comparators show? How were similarly situated employees treated?</t>
  </si>
  <si>
    <t>Can the defendant pay a judgment?</t>
  </si>
  <si>
    <t>Is there an actual controversy, or can a covenant not to sue eliminate jurisdiction over invalidity or noninfringement counterclaims?</t>
  </si>
  <si>
    <t>Was the alleged infringement of a published work commenced before registration and more than three months after first publication, barring statutory damages and attorney fees?</t>
  </si>
  <si>
    <t>Did the plaintiff allow broad internal access to the alleged secret without need-to-know restrictions?</t>
  </si>
  <si>
    <t>Is the asserted term generic for the relevant goods or services?</t>
  </si>
  <si>
    <t>If the defendant is the United States or a federal employee, did the plaintiff fail to exhaust the Federal Tort Claims Act administrative-claim process before filing suit?</t>
  </si>
  <si>
    <t>Is there a mortgage holder, title insurer, or other third party with an interest?</t>
  </si>
  <si>
    <t>Was the complaint filed within 60 days after receipt of the final agency action or within an extension granted by SSA?</t>
  </si>
  <si>
    <t>Are there class or collective action risks?</t>
  </si>
  <si>
    <t>Has the statute of limitations run? (Often 4–6 years for written contracts, shorter for oral ones; UCC § 2-725 sets 4 years for sales of goods)</t>
  </si>
  <si>
    <t xml:space="preserve">For a domestic corporate defendant, was the case filed where the defendant is incorporated or where it committed acts of infringement and has a regular and established place of business? </t>
  </si>
  <si>
    <t>Does the plaintiff own the specific exclusive right allegedly infringed, rather than merely owning a copy of the work?</t>
  </si>
  <si>
    <t>Did the plaintiff fail to use basic access controls, passwords, encryption, clean-room controls, download limits, or exit procedures for the alleged secret?</t>
  </si>
  <si>
    <t>Is the asserted mark merely descriptive without adequately pleaded or provable secondary meaning?</t>
  </si>
  <si>
    <t>If the claim is under the Federal Tort Claims Act, did the administrative claim fail to state a sum certain or get filed with the wrong agency?</t>
  </si>
  <si>
    <t>Is there title insurance?</t>
  </si>
  <si>
    <t>Does the five-day receipt presumption make the federal complaint untimely on the face of the notice and docket?</t>
  </si>
  <si>
    <t>Did the employee exhaust administrative remedies (an EEOC charge within 180 or 300 days, a right-to-sue letter, state agency filing)?</t>
  </si>
  <si>
    <t>Does the statute of frauds require writing (land, contracts over one year, goods of $500 or more)?</t>
  </si>
  <si>
    <t>If venue depends on the second prong of § 1400(b), is there a physical place in the district that is regular, established, and the defendant’s place?</t>
  </si>
  <si>
    <t>Was any transfer of copyright ownership or exclusive license in writing and signed by the owner or authorized agent?</t>
  </si>
  <si>
    <t>Does the alleged trade secret consist only of general employee knowledge, memory, experience, relationships, or skill?</t>
  </si>
  <si>
    <t>If the claim is based on product design trade dress, has the plaintiff failed to show secondary meaning?</t>
  </si>
  <si>
    <t>If the claim is under the Federal Tort Claims Act, does an exception apply, such as discretionary function, intentional tort, postal, foreign-country, combatant-activities, or independent-contractor immunity?</t>
  </si>
  <si>
    <t>Is the plaintiff a proper party with a recorded interest?</t>
  </si>
  <si>
    <t>Has the plaintiff pleaded or documented facts supporting equitable tolling of the 60-day deadline?</t>
  </si>
  <si>
    <t>Was the suit filed within the deadline? (90 days after a right-to-sue letter; FLSA allows 2 years, or 3 for willful violations)</t>
  </si>
  <si>
    <t>Is there an arbitration clause, forum-selection clause, or choice-of-law clause?</t>
  </si>
  <si>
    <t>Did the defendant timely preserve and assert an improper-venue defense, or did litigation conduct waive or forfeit the objection?</t>
  </si>
  <si>
    <t>Is the plaintiff only a nonexclusive licensee without standing to sue for infringement?</t>
  </si>
  <si>
    <t>Does the alleged trade secret consist only of customer names, pricing, or business information that was publicly available or already known to the relevant market?</t>
  </si>
  <si>
    <t>If the claim is based on unregistered trade dress, has the plaintiff failed to identify the claimed trade dress with sufficient specificity?</t>
  </si>
  <si>
    <t>Is the claim actually subject to workers’ compensation exclusivity because the injury occurred in the course and scope of employment?</t>
  </si>
  <si>
    <t>Have the limitations period, adverse possession period, or marketable title act period run?</t>
  </si>
  <si>
    <t>Did SSA issue defective, misleading, or non-received notice that could support tolling, due process relief, or remand?</t>
  </si>
  <si>
    <t>Is there an arbitration agreement or class-action waiver?</t>
  </si>
  <si>
    <t>Is there a limitation-of-liability, liquidated-damages, or waiver clause?</t>
  </si>
  <si>
    <t>Is there a reasonable likelihood that the petitioner would prevail on at least one challenged claim?</t>
  </si>
  <si>
    <t>Was the allegedly infringed work created as a work made for hire?</t>
  </si>
  <si>
    <t>Does the plaintiff lack ownership or lawful possession of the alleged trade secret because of an assignment, asset sale, license, employment agreement, or acquisition document?</t>
  </si>
  <si>
    <t>Is the asserted trade dress or product feature functional?</t>
  </si>
  <si>
    <t>Is the defendant a statutory employer, borrowing employer, general contractor, or up-the-ladder employer entitled to workers’ compensation immunity?</t>
  </si>
  <si>
    <t>Was statutory notice given and the procedure followed (eviction notices, mechanic's lien deadlines, foreclosure steps)?</t>
  </si>
  <si>
    <t>Did the plaintiff request and obtain an extension of time from SSA before filing late in federal court?</t>
  </si>
  <si>
    <t>Is the employer large enough to be covered? (15 employees for Title VII and ADA, 20 for ADEA)</t>
  </si>
  <si>
    <t>Are there notice-and-cure or pre-suit steps (notice, mediation) that were skipped?</t>
  </si>
  <si>
    <t>Is post-grant review available within the nine-month statutory window, and can broader validity grounds be raised there than in IPR?</t>
  </si>
  <si>
    <t>If the plaintiff claims joint authorship, did the authors intend their contributions to merge into a unitary work?</t>
  </si>
  <si>
    <t>Does the relevant contract assign only a narrower category of IP and not the specific alleged trade secret?</t>
  </si>
  <si>
    <t>Is the asserted feature aesthetically functional because exclusive rights would put competitors at a significant non-reputation-related disadvantage?</t>
  </si>
  <si>
    <t>Is the injury covered by a no-fault, PIP, workers’ compensation, maritime, railroad, or other exclusive statutory remedial scheme that limits or bars the tort suit?</t>
  </si>
  <si>
    <t>Does the purchase contract have a liquidated-damages clause or an earnest-money provision that limits remedies?</t>
  </si>
  <si>
    <t>Is the plaintiff improperly trying to challenge a refusal to reopen a prior final denial?</t>
  </si>
  <si>
    <t>Is the claim preempted? A CBA can trigger LMRA § 301 preemption, and NLRB primary jurisdiction can apply</t>
  </si>
  <si>
    <t>Does the parol evidence rule or an integration clause bar the claimed side agreement?</t>
  </si>
  <si>
    <t>Can a defendant file an IPR limited to § 102 or § 103 grounds based on patents or printed publications, and is the petition timely?</t>
  </si>
  <si>
    <t>Does the plaintiff’s claim fail because the asserted material is not original or lacks the minimal creativity required for copyright protection?</t>
  </si>
  <si>
    <t>Was the alleged trade secret created before employment, after employment, outside the scope of work, or by a third party?</t>
  </si>
  <si>
    <t>Has the asserted mark been abandoned through nonuse with no intent to resume use?</t>
  </si>
  <si>
    <t>Did the plaintiff sue the wrong legal entity, dissolved entity, immune agency, non-juridical department, parent company, franchisor, landlord, property manager, or insurer?</t>
  </si>
  <si>
    <t>Does a survey or recorded easement settle the boundary question?</t>
  </si>
  <si>
    <t>Is the claim barred by administrative res judicata because the claimant is relitigating the same period, facts, and issues from a prior final decision?</t>
  </si>
  <si>
    <t>Did the employee sign a severance agreement or release? (An ADEA waiver must meet OWBPA requirements)</t>
  </si>
  <si>
    <t>Is there a fee-shifting clause?</t>
  </si>
  <si>
    <t>Would a final written decision create estoppel that narrows or resolves district-court invalidity defenses?</t>
  </si>
  <si>
    <t>Was the asserted work fixed in a tangible medium of expression?</t>
  </si>
  <si>
    <t>Did the defendant already know the information before the alleged disclosure or acquisition?</t>
  </si>
  <si>
    <t>Has the plaintiff abandoned rights through naked licensing or failure to control the nature and quality of licensed goods or services?</t>
  </si>
  <si>
    <t>Does the plaintiff lack capacity, standing, or real-party-in-interest status, such as where an estate representative, guardian, trustee, subrogated insurer, or bankruptcy trustee should be the plaintiff?</t>
  </si>
  <si>
    <t>Is the claim in the right court? Some states use housing courts or administrative remedies, and some require exhausting land-use appeals first</t>
  </si>
  <si>
    <t>Did SSA actually reopen the prior claim, either expressly or constructively, making the earlier period reviewable?</t>
  </si>
  <si>
    <t>Are the wage records complete, and is the exemption classification defensible?</t>
  </si>
  <si>
    <t>Do defenses apply, such as release, accord and satisfaction, impossibility or frustration, or force majeure?</t>
  </si>
  <si>
    <t>Would an instituted IPR or PGR likely simplify issues enough to justify a litigation stay?</t>
  </si>
  <si>
    <t>Is the work or relevant portion in the public domain?</t>
  </si>
  <si>
    <t>Did the defendant receive the information from a customer, vendor, employee, or third party who had the right to disclose it?</t>
  </si>
  <si>
    <t>Has the registration been cancelled, expired, surrendered, or limited in a way that removes the goods or services at issue?</t>
  </si>
  <si>
    <t>Has the plaintiff failed to join a required party whose absence prevents complete relief or creates inconsistent-obligation risk?</t>
  </si>
  <si>
    <t>Is the property subject to a lis pendens or pending sale?</t>
  </si>
  <si>
    <t>If the case follows a prior federal-court remand, did the post-remand ALJ decision become final under the remand rules before the new civil action was filed?</t>
  </si>
  <si>
    <t>Are the damages statutorily capped, and does fee-shifting apply?</t>
  </si>
  <si>
    <t>Is the accused activity a protected medical practitioner’s medical activity under § 287(c)?</t>
  </si>
  <si>
    <t>Is the asserted material a U.S. Government work not subject to copyright protection?</t>
  </si>
  <si>
    <t>Did the defendant obtain the information from public sources or independently developed materials?</t>
  </si>
  <si>
    <t>Does the accused use fall outside the goods or services covered by the pleaded registration?</t>
  </si>
  <si>
    <t>Was service of process defective, untimely, made on the wrong agent, or otherwise insufficient?</t>
  </si>
  <si>
    <t>If the case challenges an Appeals Council dismissal as untimely, is that dismissal reviewable because it followed an ALJ hearing, or is it a nonreviewable procedural dismissal?</t>
  </si>
  <si>
    <t>Is a false-marking theory viable, and has the claimant suffered competitive injury rather than merely identifying an expired patent marking?</t>
  </si>
  <si>
    <t>Does the claim seek protection for ideas, facts, procedures, methods, systems, concepts, principles, or discoveries rather than protected expression?</t>
  </si>
  <si>
    <t>Does a license, NDA, services agreement, data-use agreement, or other contract authorize the defendant’s access, use, or disclosure?</t>
  </si>
  <si>
    <t>Did the defendant have prior continuous use in the relevant territory before the plaintiff’s constructive-use or registration date?</t>
  </si>
  <si>
    <t>Does the court lack personal jurisdiction over the defendant because the accident, defendant, witnesses, and relevant conduct lack sufficient forum contacts?</t>
  </si>
  <si>
    <t>Is the plaintiff relying on federal-question jurisdiction, the APA, mandamus, or the FTCA even though § 405(g) and § 405(h) channel Social Security benefit claims through the Social Security Act?</t>
  </si>
  <si>
    <t>Is a party improperly relying on failure to obtain or present counsel advice to prove willfulness or inducement intent?</t>
  </si>
  <si>
    <t>Does the merger doctrine leave only one or a few ways to express the asserted idea?</t>
  </si>
  <si>
    <t>Did the applicable NDA or confidentiality obligation expire before the alleged misappropriation?</t>
  </si>
  <si>
    <t>Is the plaintiff relying on alleged rights outside the geographic market where it actually has priority or goodwill?</t>
  </si>
  <si>
    <t>Is venue improper or subject to transfer because the injury, defendants, witnesses, and evidence are centered elsewhere?</t>
  </si>
  <si>
    <t>Is the relief sought limited to affirmance, modification, reversal, or remand, rather than damages, tort relief, constitutional damages, or broad programmatic relief?</t>
  </si>
  <si>
    <t>Does the case stand out as exceptional based on the weakness of a position, litigation misconduct, motivation, or deterrence considerations?</t>
  </si>
  <si>
    <t>Are the allegedly copied elements scènes à faire or stock elements that naturally flow from the subject matter, genre, setting, or functional constraints?</t>
  </si>
  <si>
    <t>Does the applicable NDA exclude information that is public, independently developed, already known, or received from a third party?</t>
  </si>
  <si>
    <t>Does descriptive fair use apply because the defendant used the term fairly and in good faith to describe its own goods, services, characteristics, or geographic origin?</t>
  </si>
  <si>
    <t>Did the plaintiff previously release, settle, covenant not to sue, waive, or indemnify the claim through a signed agreement?</t>
  </si>
  <si>
    <t>Is the Commissioner of Social Security the proper defendant, rather than SSA, the United States, an ALJ, the Appeals Council, or a field office?</t>
  </si>
  <si>
    <t>Are damages outside the six-year lookback period, and is any laches defense barred by SCA Hygiene?</t>
  </si>
  <si>
    <t>Is the asserted work primarily functional, such as a form, template, instruction set, process, or interface, with only thin copyright protection?</t>
  </si>
  <si>
    <t>Does the complaint allege only lawful competition or employee mobility rather than acquisition by improper means, unauthorized disclosure, or unauthorized use?</t>
  </si>
  <si>
    <t>Does nominative fair use apply because the defendant used only what was reasonably necessary to identify the plaintiff’s product or service and did not suggest sponsorship?</t>
  </si>
  <si>
    <t>Is the claim subject to a binding arbitration agreement, forum-selection clause, class-action waiver, or contractual claims procedure?</t>
  </si>
  <si>
    <t>Is venue proper in the district where the plaintiff resides or has a principal place of business, or otherwise in the District of Columbia?</t>
  </si>
  <si>
    <t>Did the patentee mark patented articles or give actual notice before seeking pre-suit damages?</t>
  </si>
  <si>
    <t>If the work is a compilation, does the alleged copying take the original selection, coordination, or arrangement rather than unprotected underlying facts or data?</t>
  </si>
  <si>
    <t>Did all alleged misappropriation occur before May 11, 2016, with no actionable post-DTSA conduct?</t>
  </si>
  <si>
    <t>Is the claim really an attempt to use trademark law to control copying, attribution, authorship, or creative origin that belongs, if anywhere, in copyright or patent law?</t>
  </si>
  <si>
    <t>Is the claim barred by res judicata, collateral estoppel, claim splitting, prior settlement approval, prior workers’ compensation adjudication, or a prior insurance/no-fault determination?</t>
  </si>
  <si>
    <t>Does the complaint identify the final decision being reviewed, the claimant, the county of residence, the wage-record holder if relevant, and the type of benefits claimed?</t>
  </si>
  <si>
    <t>Can the patentee prove that the patented feature creates the basis for customer demand or substantially creates the product’s value?</t>
  </si>
  <si>
    <t>If the work is derivative, does the plaintiff’s claim rely only on original material contributed by the plaintiff rather than preexisting material?</t>
  </si>
  <si>
    <t>Is the claim barred by the three-year limitations period based on facts showing the plaintiff knew or should have known of the alleged misappropriation earlier?</t>
  </si>
  <si>
    <t>For an expressive work, does the First Amendment or Rogers framework apply because the accused use is not being used as a source identifier for defendant’s own goods or services?</t>
  </si>
  <si>
    <t>In a premises-liability case, did the defendant lack possession, control, ownership, maintenance responsibility, or notice of the condition?</t>
  </si>
  <si>
    <t>Do the Supplemental Rules for Social Security Actions apply, or has the plaintiff added extra parties or claims that require ordinary Civil Rule procedures?</t>
  </si>
  <si>
    <t>Has the patentee apportioned damages to the value of the patented feature rather than the value of the entire product?</t>
  </si>
  <si>
    <t>For software, are the allegedly copied elements dictated by efficiency, compatibility, external standards, or methods of operation?</t>
  </si>
  <si>
    <t>Is the plaintiff improperly treating continuing possession or continuing use as a new limitations period for the same alleged misappropriation?</t>
  </si>
  <si>
    <t>For a dilution claim, is the asserted mark not famous among the general consuming public of the United States?</t>
  </si>
  <si>
    <t>In a premises-liability case, was the condition open and obvious, naturally occurring, trivial, de minimis, or not unreasonably dangerous as a matter of law?</t>
  </si>
  <si>
    <t>Is there an obvious sentence-four remand issue, such as legal error, failure to apply the correct standard, lack of substantial evidence, or inadequate explanation?</t>
  </si>
  <si>
    <t>Is there clear and convincing evidence of both but-for materiality and specific intent to deceive the PTO?</t>
  </si>
  <si>
    <t>For useful articles, are the asserted design features separable from the article’s utilitarian aspects?</t>
  </si>
  <si>
    <t>Does the alleged trade secret fail to relate to a product or service used in, or intended for use in, interstate or foreign commerce?</t>
  </si>
  <si>
    <t>For a dilution claim, does the accused use fall within a statutory exclusion such as fair use, news reporting, commentary, criticism, parody, or noncommercial use?</t>
  </si>
  <si>
    <t>In a negligent-security or third-party-criminal-act case, is there no special relationship, no foreseeable prior similar incidents, or no legal duty to protect against the criminal act?</t>
  </si>
  <si>
    <t>If the plaintiff seeks a sentence-six remand, is the evidence truly new, material, related to the relevant period, and supported by good cause for not submitting it earlier?</t>
  </si>
  <si>
    <t>Does a license, covenant, release, or standards-related agreement authorize the accused activity or defeat infringement?</t>
  </si>
  <si>
    <t>Has the plaintiff plausibly alleged actual copying through direct evidence or access plus probative similarity?</t>
  </si>
  <si>
    <t>Is the requested injunction really an employment restraint or inevitable-disclosure order rather than a targeted order preventing use or disclosure of specific trade secrets?</t>
  </si>
  <si>
    <t>For a false advertising claim, has the plaintiff failed to plead commercial injury to sales or business reputation proximately caused by the alleged misrepresentation?</t>
  </si>
  <si>
    <t>In a product-liability case, can the defendant be dismissed because it did not manufacture, sell, distribute, control, identify, or alter the product at issue?</t>
  </si>
  <si>
    <t>Has the plaintiff forfeited issues by failing to raise them in the district-court briefing, even if issue exhaustion before the Appeals Council is limited?</t>
  </si>
  <si>
    <t>Is there an early claim-construction issue that, once resolved, eliminates infringement or invalidity disputes?</t>
  </si>
  <si>
    <t>Was the plaintiff’s work widely disseminated enough to support an inference of access?</t>
  </si>
  <si>
    <t>Are the state tort, unfair competition, conversion, fiduciary duty, or unjust enrichment claims displaced by the applicable state trade secret statute because they are based on the same alleged misappropriation?</t>
  </si>
  <si>
    <t>For a false advertising claim, is the challenged statement nonactionable puffery, opinion, or a statement that is not made in commercial advertising or promotion?</t>
  </si>
  <si>
    <t>In a medical-malpractice or professional-negligence case, did the plaintiff fail to comply with a certificate-of-merit, expert-affidavit, medical-review-panel, or pre-suit screening requirement?</t>
  </si>
  <si>
    <t>If the claimant died, has a proper substitute, survivor, estate representative, or underpayment-eligible person appeared with authority to continue the case?</t>
  </si>
  <si>
    <t>Is the claim barred by limitations, a prior judgment, or an enforceable release? Can that issue be resolved now without further discovery?</t>
  </si>
  <si>
    <t>Is any defendant improperly included because there is no supported basis for personal, employer, owner, or contractor liability? Can that defendant or claim be dismissed?</t>
  </si>
  <si>
    <t>Do governmental immunity, unmet administrative requirements, or workers’ compensation exclusivity bar any claim or requested damages?</t>
  </si>
  <si>
    <t>Can the parties stipulate to how the collision occurred or admit ordinary negligence, leaving only injury causation and damages for resolution?</t>
  </si>
  <si>
    <t>What evidence supports comparative fault or responsibility of another person? Could that evidence bar recovery or materially reduce a reasonable settlement amount?</t>
  </si>
  <si>
    <t>Is there sufficient evidence of negligent hiring, training, supervision, or entrustment to proceed against the employer or owner, or should those claims be dismissed?</t>
  </si>
  <si>
    <t>Does the cited traffic statute actually support negligence per se, or can that theory be dismissed while any ordinary-negligence claim proceeds?</t>
  </si>
  <si>
    <t>Is there sufficient evidence of gross negligence to support exemplary damages, or can that claim be eliminated to narrow the dispute and facilitate settlement?</t>
  </si>
  <si>
    <t>Can admissible medical evidence connect each claimed injury and treatment to the collision? Can the parties resolve disputes over preexisting conditions, aggravation, or subsequent injuries?</t>
  </si>
  <si>
    <t>Are essential expert opinions properly disclosed and sufficiently reliable? Would exclusion leave a claim or category of damages without necessary proof?</t>
  </si>
  <si>
    <t>Which damages are genuinely disputed, and can the parties agree on recoverable medical expenses, lost earnings, or other amounts? Do mitigation issues materially affect the settlement range?</t>
  </si>
  <si>
    <t>What specific obstacle prevents settlement now (disputed liability, missing medical evidence, insurance coverage, liens, or settlement authority) and what focused exchange or mediation step would remove it?</t>
  </si>
  <si>
    <t>Is any claim untimely after considering accrual and applicable tolling, so that it can be dismissed now?</t>
  </si>
  <si>
    <t>Does a prior judgment or enforceable settlement bar any claim, or did the agreement expressly preserve it?</t>
  </si>
  <si>
    <t>Does the alleged conduct satisfy the elements of an actionable federal civil-rights violation, or does it amount only to negligence, disagreement, or another wrong insufficient under the particular claim?</t>
  </si>
  <si>
    <t>Is each defendant legally subject to the claim, and what specific conduct connects that defendant to the violation? For § 1983 claims, is the required state action present?</t>
  </si>
  <si>
    <t>Does an applicable immunity bar the claim or requested remedy? If qualified immunity applies, do the facts establish a violation of clearly established law?</t>
  </si>
  <si>
    <t>For a § 1983 claim against a local government, is there a sufficiently supported policy, custom, or final-policymaker theory that caused the violation, or should that claim be dismissed?</t>
  </si>
  <si>
    <t>Were any applicable administrative prerequisites satisfied? For prison claims, were available grievance procedures exhausted before suit, or is there a supported reason the procedures were unavailable?</t>
  </si>
  <si>
    <t>Would success necessarily undermine an outstanding conviction or sentence? If related criminal proceedings remain pending, is dismissal or a stay appropriate under the applicable doctrine?</t>
  </si>
  <si>
    <t>Does the plaintiff have standing for each requested remedy, and does a live controversy remain? Can any unsupported or moot request for relief be eliminated?</t>
  </si>
  <si>
    <t>Can a pleading defect be cured by amendment, or can undisputed evidence resolve an essential issue now? If a material factual dispute remains, what focused, legally permissible discovery would clarify it?</t>
  </si>
  <si>
    <t>What damages, nonmonetary relief, and attorney’s fees are realistically recoverable? Does the likely additional cost of litigation justify settlement now?</t>
  </si>
  <si>
    <t>What specific obstacle prevents agreement—disputed facts, the settlement amount, requested corrective action, funding, or settlement authority—and what concrete step could remove it at or immediately after the conference?</t>
  </si>
  <si>
    <t>Does this court have subject-matter jurisdiction and personal jurisdiction over each defendant?</t>
  </si>
  <si>
    <t>Is any claim barred by limitations, a prior judgment, settlement, or release, and does any exception apply?</t>
  </si>
  <si>
    <t>What independent legal duty supports the tort claim, and does the economic-loss rule bar recovery?</t>
  </si>
  <si>
    <t>What specific conduct and legal basis support liability against each defendant?</t>
  </si>
  <si>
    <t>For fraud or misrepresentation, what was said or concealed, by whom and when, and how did the plaintiff justifiably rely on it and suffer loss?</t>
  </si>
  <si>
    <t>For conversion or wrongful taking, what identifiable property did the plaintiff own or have a right to possess, and how did the defendant wrongfully control it?</t>
  </si>
  <si>
    <t>For tortious interference, what contract or reasonably probable business relationship was disrupted, what conduct caused the disruption, and what loss resulted?</t>
  </si>
  <si>
    <t>For defamation or business disparagement, what actionable false statement was communicated, what defenses apply, and what required injury can be established?</t>
  </si>
  <si>
    <t>Does another statute displace or preempt any tort claim based on the specific conduct alleged?</t>
  </si>
  <si>
    <t>What evidence connects the defendant’s conduct to each claimed loss, and which damages can be established?</t>
  </si>
  <si>
    <t>Do enforceable contractual provisions limit liability or damages, and what legal basis supports punitive damages or attorney’s fees?</t>
  </si>
  <si>
    <t>What evidence exchange, payment, return of property, correction, or agreement to stop conduct would resolve the dispute, and can the necessary decision-makers authorize settlement now?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</si>
</sst>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1B1A18"/>
      <name val="Diatype"/>
      <charset val="1"/>
    </font>
    <font>
      <sz val="9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1B1A18"/>
      <name val="Times New Roman"/>
      <family val="1"/>
    </font>
    <font>
      <sz val="9"/>
      <color rgb="FF1B1A1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wrapText="1" readingOrder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wrapText="1" readingOrder="1"/>
    </xf>
    <xf numFmtId="0" fontId="5" fillId="0" borderId="0" xfId="0" applyFont="1"/>
    <xf numFmtId="0" fontId="4" fillId="0" borderId="0" xfId="0" applyFont="1"/>
    <xf numFmtId="0" fontId="8" fillId="0" borderId="0" xfId="0" applyFont="1" applyAlignment="1">
      <alignment wrapText="1" readingOrder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"/>
  <sheetViews>
    <sheetView tabSelected="1" topLeftCell="H1" workbookViewId="0">
      <selection activeCell="N6" sqref="N6"/>
    </sheetView>
  </sheetViews>
  <sheetFormatPr baseColWidth="10" defaultColWidth="8.83203125" defaultRowHeight="15"/>
  <cols>
    <col min="1" max="1" width="20.83203125" style="1" bestFit="1" customWidth="1"/>
    <col min="2" max="2" width="33.33203125" customWidth="1"/>
    <col min="3" max="3" width="32.5" customWidth="1"/>
    <col min="4" max="4" width="29.5" style="2" customWidth="1"/>
    <col min="5" max="5" width="32.5" customWidth="1"/>
    <col min="6" max="6" width="29" customWidth="1"/>
    <col min="7" max="7" width="30.83203125" customWidth="1"/>
    <col min="8" max="8" width="34.33203125" customWidth="1"/>
    <col min="9" max="9" width="33.5" customWidth="1"/>
    <col min="10" max="10" width="33.83203125" customWidth="1"/>
    <col min="11" max="11" width="28.33203125" bestFit="1" customWidth="1"/>
    <col min="12" max="12" width="30.5" customWidth="1"/>
    <col min="13" max="13" width="32" bestFit="1" customWidth="1"/>
    <col min="14" max="14" width="23.83203125" bestFit="1" customWidth="1"/>
    <col min="17" max="17" width="28.33203125" bestFit="1" customWidth="1"/>
    <col min="18" max="18" width="11" bestFit="1" customWidth="1"/>
    <col min="19" max="19" width="32" bestFit="1" customWidth="1"/>
    <col min="20" max="20" width="23.83203125" bestFit="1" customWidth="1"/>
  </cols>
  <sheetData>
    <row r="1" spans="1:14">
      <c r="A1" s="12" t="s">
        <v>0</v>
      </c>
      <c r="B1" s="12"/>
      <c r="C1" s="12"/>
      <c r="D1" s="12"/>
      <c r="E1" s="12"/>
      <c r="F1" s="4"/>
      <c r="G1" s="4"/>
      <c r="H1" s="4"/>
      <c r="I1" s="4"/>
      <c r="J1" s="4"/>
      <c r="K1" s="4"/>
      <c r="L1" s="4"/>
      <c r="M1" s="4"/>
      <c r="N1" s="4"/>
    </row>
    <row r="2" spans="1:14">
      <c r="A2" s="12"/>
      <c r="B2" s="12"/>
      <c r="C2" s="12"/>
      <c r="D2" s="12"/>
      <c r="E2" s="12"/>
      <c r="F2" s="4"/>
      <c r="G2" s="4"/>
      <c r="H2" s="4"/>
      <c r="I2" s="4"/>
      <c r="J2" s="4"/>
      <c r="K2" s="4"/>
      <c r="L2" s="4"/>
      <c r="M2" s="4"/>
      <c r="N2" s="4"/>
    </row>
    <row r="3" spans="1:14" s="1" customFormat="1" ht="16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ht="16">
      <c r="A4" s="6" t="s">
        <v>15</v>
      </c>
      <c r="B4" s="4">
        <f>13+755</f>
        <v>768</v>
      </c>
      <c r="C4" s="4" t="s">
        <v>16</v>
      </c>
      <c r="D4" s="4" t="s">
        <v>16</v>
      </c>
      <c r="E4" s="4" t="s">
        <v>16</v>
      </c>
      <c r="F4" s="4" t="s">
        <v>16</v>
      </c>
      <c r="G4" s="4">
        <f>569+44</f>
        <v>613</v>
      </c>
      <c r="H4" s="4">
        <v>325</v>
      </c>
      <c r="I4" s="4">
        <f>144+58</f>
        <v>202</v>
      </c>
      <c r="J4" s="4">
        <f>190</f>
        <v>190</v>
      </c>
      <c r="K4" s="4">
        <v>177</v>
      </c>
      <c r="L4" s="4">
        <f>2+162</f>
        <v>164</v>
      </c>
      <c r="M4" s="4">
        <f>48+47</f>
        <v>95</v>
      </c>
      <c r="N4" s="4">
        <f>18</f>
        <v>18</v>
      </c>
    </row>
    <row r="5" spans="1:14" ht="16">
      <c r="A5" s="5" t="s">
        <v>17</v>
      </c>
      <c r="B5" s="4" t="s">
        <v>18</v>
      </c>
      <c r="C5" s="4" t="s">
        <v>19</v>
      </c>
      <c r="D5" s="4" t="s">
        <v>19</v>
      </c>
      <c r="E5" s="4" t="s">
        <v>19</v>
      </c>
      <c r="F5" s="4" t="s">
        <v>19</v>
      </c>
      <c r="G5" s="4" t="s">
        <v>20</v>
      </c>
      <c r="H5" s="4" t="s">
        <v>19</v>
      </c>
      <c r="I5" s="4" t="s">
        <v>18</v>
      </c>
      <c r="J5" s="4" t="s">
        <v>19</v>
      </c>
      <c r="K5" s="4" t="s">
        <v>20</v>
      </c>
      <c r="L5" s="4" t="s">
        <v>18</v>
      </c>
      <c r="M5" s="4" t="s">
        <v>20</v>
      </c>
      <c r="N5" s="4"/>
    </row>
    <row r="6" spans="1:14" ht="76">
      <c r="A6" s="6" t="s">
        <v>21</v>
      </c>
      <c r="B6" s="4" t="s">
        <v>22</v>
      </c>
      <c r="C6" s="7" t="s">
        <v>23</v>
      </c>
      <c r="D6" s="8" t="s">
        <v>24</v>
      </c>
      <c r="E6" s="7" t="s">
        <v>25</v>
      </c>
      <c r="F6" s="8" t="s">
        <v>26</v>
      </c>
      <c r="G6" s="8" t="s">
        <v>226</v>
      </c>
      <c r="H6" s="8" t="s">
        <v>27</v>
      </c>
      <c r="I6" s="4" t="s">
        <v>28</v>
      </c>
      <c r="J6" s="8" t="s">
        <v>29</v>
      </c>
      <c r="K6" s="8" t="s">
        <v>214</v>
      </c>
      <c r="L6" s="4" t="s">
        <v>30</v>
      </c>
      <c r="M6" s="4" t="s">
        <v>238</v>
      </c>
      <c r="N6" s="4"/>
    </row>
    <row r="7" spans="1:14" ht="91">
      <c r="A7" s="5"/>
      <c r="B7" s="4" t="s">
        <v>31</v>
      </c>
      <c r="C7" s="7" t="s">
        <v>32</v>
      </c>
      <c r="D7" s="8" t="s">
        <v>33</v>
      </c>
      <c r="E7" s="7" t="s">
        <v>34</v>
      </c>
      <c r="F7" s="8" t="s">
        <v>35</v>
      </c>
      <c r="G7" s="8" t="s">
        <v>227</v>
      </c>
      <c r="H7" s="8" t="s">
        <v>36</v>
      </c>
      <c r="I7" s="4" t="s">
        <v>37</v>
      </c>
      <c r="J7" s="8" t="s">
        <v>38</v>
      </c>
      <c r="K7" s="8" t="s">
        <v>215</v>
      </c>
      <c r="L7" s="4" t="s">
        <v>39</v>
      </c>
      <c r="M7" s="4" t="s">
        <v>239</v>
      </c>
      <c r="N7" s="4"/>
    </row>
    <row r="8" spans="1:14" ht="91">
      <c r="A8" s="5"/>
      <c r="B8" s="4" t="s">
        <v>40</v>
      </c>
      <c r="C8" s="7" t="s">
        <v>41</v>
      </c>
      <c r="D8" s="8" t="s">
        <v>42</v>
      </c>
      <c r="E8" s="7" t="s">
        <v>43</v>
      </c>
      <c r="F8" s="8" t="s">
        <v>44</v>
      </c>
      <c r="G8" s="8" t="s">
        <v>228</v>
      </c>
      <c r="H8" s="8" t="s">
        <v>45</v>
      </c>
      <c r="I8" s="4" t="s">
        <v>46</v>
      </c>
      <c r="J8" s="8" t="s">
        <v>47</v>
      </c>
      <c r="K8" s="8" t="s">
        <v>216</v>
      </c>
      <c r="L8" s="4" t="s">
        <v>48</v>
      </c>
      <c r="M8" s="4" t="s">
        <v>240</v>
      </c>
      <c r="N8" s="4"/>
    </row>
    <row r="9" spans="1:14" ht="76">
      <c r="A9" s="5"/>
      <c r="B9" s="4" t="s">
        <v>49</v>
      </c>
      <c r="C9" s="7" t="s">
        <v>50</v>
      </c>
      <c r="D9" s="8" t="s">
        <v>51</v>
      </c>
      <c r="E9" s="7" t="s">
        <v>52</v>
      </c>
      <c r="F9" s="8" t="s">
        <v>53</v>
      </c>
      <c r="G9" s="8" t="s">
        <v>229</v>
      </c>
      <c r="H9" s="8" t="s">
        <v>54</v>
      </c>
      <c r="I9" s="4" t="s">
        <v>55</v>
      </c>
      <c r="J9" s="8" t="s">
        <v>56</v>
      </c>
      <c r="K9" s="8" t="s">
        <v>217</v>
      </c>
      <c r="L9" s="4" t="s">
        <v>57</v>
      </c>
      <c r="M9" s="4" t="s">
        <v>241</v>
      </c>
      <c r="N9" s="4"/>
    </row>
    <row r="10" spans="1:14" ht="91">
      <c r="A10" s="5"/>
      <c r="B10" s="4" t="s">
        <v>58</v>
      </c>
      <c r="C10" s="7" t="s">
        <v>59</v>
      </c>
      <c r="D10" s="8" t="s">
        <v>60</v>
      </c>
      <c r="E10" s="7" t="s">
        <v>61</v>
      </c>
      <c r="F10" s="8" t="s">
        <v>62</v>
      </c>
      <c r="G10" s="8" t="s">
        <v>230</v>
      </c>
      <c r="H10" s="8" t="s">
        <v>63</v>
      </c>
      <c r="I10" s="4" t="s">
        <v>64</v>
      </c>
      <c r="J10" s="8" t="s">
        <v>65</v>
      </c>
      <c r="K10" s="8" t="s">
        <v>218</v>
      </c>
      <c r="L10" s="4" t="s">
        <v>66</v>
      </c>
      <c r="M10" s="4" t="s">
        <v>242</v>
      </c>
      <c r="N10" s="4"/>
    </row>
    <row r="11" spans="1:14" ht="91">
      <c r="A11" s="5"/>
      <c r="B11" s="4" t="s">
        <v>67</v>
      </c>
      <c r="C11" s="7" t="s">
        <v>68</v>
      </c>
      <c r="D11" s="8" t="s">
        <v>69</v>
      </c>
      <c r="E11" s="7" t="s">
        <v>70</v>
      </c>
      <c r="F11" s="8" t="s">
        <v>71</v>
      </c>
      <c r="G11" s="8" t="s">
        <v>231</v>
      </c>
      <c r="H11" s="8" t="s">
        <v>72</v>
      </c>
      <c r="I11" s="4" t="s">
        <v>73</v>
      </c>
      <c r="J11" s="8" t="s">
        <v>74</v>
      </c>
      <c r="K11" s="8" t="s">
        <v>219</v>
      </c>
      <c r="L11" s="4" t="s">
        <v>75</v>
      </c>
      <c r="M11" s="4" t="s">
        <v>243</v>
      </c>
      <c r="N11" s="4"/>
    </row>
    <row r="12" spans="1:14" ht="91">
      <c r="A12" s="5"/>
      <c r="B12" s="4" t="s">
        <v>76</v>
      </c>
      <c r="C12" s="7" t="s">
        <v>77</v>
      </c>
      <c r="D12" s="8" t="s">
        <v>78</v>
      </c>
      <c r="E12" s="7" t="s">
        <v>79</v>
      </c>
      <c r="F12" s="8" t="s">
        <v>80</v>
      </c>
      <c r="G12" s="8" t="s">
        <v>232</v>
      </c>
      <c r="H12" s="8" t="s">
        <v>81</v>
      </c>
      <c r="I12" s="4" t="s">
        <v>82</v>
      </c>
      <c r="J12" s="8" t="s">
        <v>83</v>
      </c>
      <c r="K12" s="8" t="s">
        <v>220</v>
      </c>
      <c r="L12" s="4" t="s">
        <v>84</v>
      </c>
      <c r="M12" s="4" t="s">
        <v>244</v>
      </c>
      <c r="N12" s="4"/>
    </row>
    <row r="13" spans="1:14" ht="91">
      <c r="A13" s="5"/>
      <c r="B13" s="4" t="s">
        <v>85</v>
      </c>
      <c r="C13" s="7" t="s">
        <v>86</v>
      </c>
      <c r="D13" s="8" t="s">
        <v>87</v>
      </c>
      <c r="E13" s="7" t="s">
        <v>88</v>
      </c>
      <c r="F13" s="8" t="s">
        <v>89</v>
      </c>
      <c r="G13" s="8" t="s">
        <v>233</v>
      </c>
      <c r="H13" s="8" t="s">
        <v>90</v>
      </c>
      <c r="I13" s="4" t="s">
        <v>91</v>
      </c>
      <c r="J13" s="8" t="s">
        <v>92</v>
      </c>
      <c r="K13" s="8" t="s">
        <v>221</v>
      </c>
      <c r="L13" s="4" t="s">
        <v>93</v>
      </c>
      <c r="M13" s="4" t="s">
        <v>245</v>
      </c>
      <c r="N13" s="4"/>
    </row>
    <row r="14" spans="1:14" ht="106">
      <c r="A14" s="5"/>
      <c r="B14" s="4" t="s">
        <v>94</v>
      </c>
      <c r="C14" s="7" t="s">
        <v>95</v>
      </c>
      <c r="D14" s="8" t="s">
        <v>96</v>
      </c>
      <c r="E14" s="7" t="s">
        <v>97</v>
      </c>
      <c r="F14" s="8" t="s">
        <v>98</v>
      </c>
      <c r="G14" s="8" t="s">
        <v>234</v>
      </c>
      <c r="H14" s="8" t="s">
        <v>99</v>
      </c>
      <c r="I14" s="4" t="s">
        <v>100</v>
      </c>
      <c r="J14" s="8" t="s">
        <v>101</v>
      </c>
      <c r="K14" s="8" t="s">
        <v>222</v>
      </c>
      <c r="L14" s="4" t="s">
        <v>102</v>
      </c>
      <c r="M14" s="4" t="s">
        <v>246</v>
      </c>
      <c r="N14" s="4"/>
    </row>
    <row r="15" spans="1:14" ht="106">
      <c r="A15" s="5"/>
      <c r="B15" s="4" t="s">
        <v>103</v>
      </c>
      <c r="C15" s="7" t="s">
        <v>104</v>
      </c>
      <c r="D15" s="8" t="s">
        <v>105</v>
      </c>
      <c r="E15" s="7" t="s">
        <v>106</v>
      </c>
      <c r="F15" s="8" t="s">
        <v>107</v>
      </c>
      <c r="G15" s="8" t="s">
        <v>235</v>
      </c>
      <c r="H15" s="8" t="s">
        <v>108</v>
      </c>
      <c r="I15" s="4" t="s">
        <v>109</v>
      </c>
      <c r="J15" s="8" t="s">
        <v>110</v>
      </c>
      <c r="K15" s="8" t="s">
        <v>223</v>
      </c>
      <c r="L15" s="4" t="s">
        <v>111</v>
      </c>
      <c r="M15" s="4" t="s">
        <v>247</v>
      </c>
      <c r="N15" s="4"/>
    </row>
    <row r="16" spans="1:14" ht="91">
      <c r="A16" s="5"/>
      <c r="B16" s="4" t="s">
        <v>112</v>
      </c>
      <c r="C16" s="7" t="s">
        <v>113</v>
      </c>
      <c r="D16" s="8" t="s">
        <v>114</v>
      </c>
      <c r="E16" s="7" t="s">
        <v>115</v>
      </c>
      <c r="F16" s="8" t="s">
        <v>116</v>
      </c>
      <c r="G16" s="8" t="s">
        <v>236</v>
      </c>
      <c r="H16" s="8" t="s">
        <v>117</v>
      </c>
      <c r="I16" s="4" t="s">
        <v>118</v>
      </c>
      <c r="J16" s="8" t="s">
        <v>119</v>
      </c>
      <c r="K16" s="4" t="s">
        <v>224</v>
      </c>
      <c r="L16" s="4" t="s">
        <v>120</v>
      </c>
      <c r="M16" s="4" t="s">
        <v>248</v>
      </c>
      <c r="N16" s="4"/>
    </row>
    <row r="17" spans="1:14" ht="106">
      <c r="A17" s="5"/>
      <c r="B17" s="4" t="s">
        <v>121</v>
      </c>
      <c r="C17" s="7" t="s">
        <v>122</v>
      </c>
      <c r="D17" s="8" t="s">
        <v>123</v>
      </c>
      <c r="E17" s="7" t="s">
        <v>124</v>
      </c>
      <c r="F17" s="8" t="s">
        <v>125</v>
      </c>
      <c r="G17" s="8" t="s">
        <v>237</v>
      </c>
      <c r="H17" s="8" t="s">
        <v>126</v>
      </c>
      <c r="I17" s="4" t="s">
        <v>127</v>
      </c>
      <c r="J17" s="8" t="s">
        <v>128</v>
      </c>
      <c r="K17" s="4" t="s">
        <v>225</v>
      </c>
      <c r="L17" s="4" t="s">
        <v>129</v>
      </c>
      <c r="M17" s="4" t="s">
        <v>249</v>
      </c>
      <c r="N17" s="4"/>
    </row>
    <row r="18" spans="1:14" ht="76">
      <c r="A18" s="5"/>
      <c r="B18" s="4" t="s">
        <v>130</v>
      </c>
      <c r="C18" s="7" t="s">
        <v>131</v>
      </c>
      <c r="D18" s="8" t="s">
        <v>132</v>
      </c>
      <c r="E18" s="7" t="s">
        <v>133</v>
      </c>
      <c r="F18" s="8" t="s">
        <v>134</v>
      </c>
      <c r="G18" s="8"/>
      <c r="H18" s="8" t="s">
        <v>135</v>
      </c>
      <c r="I18" s="4" t="s">
        <v>136</v>
      </c>
      <c r="J18" s="8" t="s">
        <v>137</v>
      </c>
      <c r="K18" s="4"/>
      <c r="L18" s="4" t="s">
        <v>138</v>
      </c>
      <c r="M18" s="4"/>
      <c r="N18" s="4"/>
    </row>
    <row r="19" spans="1:14" ht="76">
      <c r="A19" s="5"/>
      <c r="B19" s="4" t="s">
        <v>139</v>
      </c>
      <c r="C19" s="7" t="s">
        <v>140</v>
      </c>
      <c r="D19" s="8" t="s">
        <v>141</v>
      </c>
      <c r="E19" s="7" t="s">
        <v>142</v>
      </c>
      <c r="F19" s="8" t="s">
        <v>143</v>
      </c>
      <c r="G19" s="8"/>
      <c r="H19" s="8" t="s">
        <v>144</v>
      </c>
      <c r="I19" s="4" t="s">
        <v>145</v>
      </c>
      <c r="J19" s="8" t="s">
        <v>146</v>
      </c>
      <c r="K19" s="10"/>
      <c r="L19" s="4" t="s">
        <v>147</v>
      </c>
      <c r="M19" s="4"/>
      <c r="N19" s="4"/>
    </row>
    <row r="20" spans="1:14" ht="76">
      <c r="A20" s="5"/>
      <c r="B20" s="4"/>
      <c r="C20" s="7" t="s">
        <v>148</v>
      </c>
      <c r="D20" s="8" t="s">
        <v>149</v>
      </c>
      <c r="E20" s="7" t="s">
        <v>150</v>
      </c>
      <c r="F20" s="8" t="s">
        <v>151</v>
      </c>
      <c r="G20" s="8"/>
      <c r="H20" s="8" t="s">
        <v>152</v>
      </c>
      <c r="I20" s="4"/>
      <c r="J20" s="8" t="s">
        <v>153</v>
      </c>
      <c r="L20" s="4"/>
      <c r="M20" s="4"/>
      <c r="N20" s="4"/>
    </row>
    <row r="21" spans="1:14" ht="91">
      <c r="A21" s="5"/>
      <c r="B21" s="4"/>
      <c r="C21" s="7" t="s">
        <v>154</v>
      </c>
      <c r="D21" s="8" t="s">
        <v>155</v>
      </c>
      <c r="E21" s="7" t="s">
        <v>156</v>
      </c>
      <c r="F21" s="8" t="s">
        <v>157</v>
      </c>
      <c r="H21" s="8" t="s">
        <v>158</v>
      </c>
      <c r="I21" s="4"/>
      <c r="J21" s="8" t="s">
        <v>159</v>
      </c>
      <c r="L21" s="4"/>
      <c r="M21" s="4"/>
      <c r="N21" s="4"/>
    </row>
    <row r="22" spans="1:14" ht="61">
      <c r="A22" s="5"/>
      <c r="B22" s="4"/>
      <c r="C22" s="7" t="s">
        <v>160</v>
      </c>
      <c r="D22" s="8" t="s">
        <v>161</v>
      </c>
      <c r="E22" s="7" t="s">
        <v>162</v>
      </c>
      <c r="F22" s="8" t="s">
        <v>163</v>
      </c>
      <c r="H22" s="8" t="s">
        <v>164</v>
      </c>
      <c r="I22" s="4"/>
      <c r="J22" s="8" t="s">
        <v>165</v>
      </c>
      <c r="L22" s="4"/>
      <c r="M22" s="4"/>
      <c r="N22" s="4"/>
    </row>
    <row r="23" spans="1:14" ht="91">
      <c r="A23" s="5"/>
      <c r="B23" s="4"/>
      <c r="C23" s="7" t="s">
        <v>166</v>
      </c>
      <c r="D23" s="8" t="s">
        <v>167</v>
      </c>
      <c r="E23" s="7" t="s">
        <v>168</v>
      </c>
      <c r="F23" s="8" t="s">
        <v>169</v>
      </c>
      <c r="H23" s="8" t="s">
        <v>170</v>
      </c>
      <c r="I23" s="4"/>
      <c r="J23" s="8" t="s">
        <v>171</v>
      </c>
      <c r="L23" s="4"/>
      <c r="M23" s="4"/>
      <c r="N23" s="4"/>
    </row>
    <row r="24" spans="1:14" ht="91">
      <c r="A24" s="5"/>
      <c r="B24" s="4"/>
      <c r="C24" s="7" t="s">
        <v>172</v>
      </c>
      <c r="D24" s="8" t="s">
        <v>173</v>
      </c>
      <c r="E24" s="7" t="s">
        <v>174</v>
      </c>
      <c r="F24" s="8" t="s">
        <v>175</v>
      </c>
      <c r="H24" s="8" t="s">
        <v>176</v>
      </c>
      <c r="I24" s="4"/>
      <c r="J24" s="8" t="s">
        <v>177</v>
      </c>
      <c r="L24" s="4"/>
      <c r="M24" s="4"/>
      <c r="N24" s="4"/>
    </row>
    <row r="25" spans="1:14" ht="91">
      <c r="A25" s="5"/>
      <c r="B25" s="4"/>
      <c r="C25" s="7" t="s">
        <v>178</v>
      </c>
      <c r="D25" s="8" t="s">
        <v>179</v>
      </c>
      <c r="E25" s="7" t="s">
        <v>180</v>
      </c>
      <c r="F25" s="8" t="s">
        <v>181</v>
      </c>
      <c r="H25" s="8" t="s">
        <v>182</v>
      </c>
      <c r="I25" s="4"/>
      <c r="J25" s="8" t="s">
        <v>183</v>
      </c>
      <c r="L25" s="4"/>
      <c r="M25" s="4"/>
      <c r="N25" s="4"/>
    </row>
    <row r="26" spans="1:14" ht="91">
      <c r="A26" s="5"/>
      <c r="B26" s="4"/>
      <c r="C26" s="7" t="s">
        <v>184</v>
      </c>
      <c r="D26" s="8" t="s">
        <v>185</v>
      </c>
      <c r="E26" s="7" t="s">
        <v>186</v>
      </c>
      <c r="F26" s="8" t="s">
        <v>187</v>
      </c>
      <c r="H26" s="8" t="s">
        <v>188</v>
      </c>
      <c r="I26" s="4"/>
      <c r="J26" s="8" t="s">
        <v>189</v>
      </c>
      <c r="L26" s="4"/>
      <c r="M26" s="4"/>
      <c r="N26" s="4"/>
    </row>
    <row r="27" spans="1:14" ht="76">
      <c r="A27" s="5"/>
      <c r="B27" s="4"/>
      <c r="C27" s="7" t="s">
        <v>190</v>
      </c>
      <c r="D27" s="8" t="s">
        <v>191</v>
      </c>
      <c r="E27" s="7" t="s">
        <v>192</v>
      </c>
      <c r="F27" s="8" t="s">
        <v>193</v>
      </c>
      <c r="H27" s="8" t="s">
        <v>194</v>
      </c>
      <c r="I27" s="4"/>
      <c r="J27" s="8" t="s">
        <v>195</v>
      </c>
      <c r="L27" s="4"/>
      <c r="M27" s="4"/>
      <c r="N27" s="4"/>
    </row>
    <row r="28" spans="1:14" ht="76">
      <c r="A28" s="5"/>
      <c r="B28" s="4"/>
      <c r="C28" s="7" t="s">
        <v>196</v>
      </c>
      <c r="D28" s="8" t="s">
        <v>197</v>
      </c>
      <c r="E28" s="7" t="s">
        <v>198</v>
      </c>
      <c r="F28" s="8" t="s">
        <v>199</v>
      </c>
      <c r="H28" s="8" t="s">
        <v>200</v>
      </c>
      <c r="I28" s="4"/>
      <c r="J28" s="8" t="s">
        <v>201</v>
      </c>
      <c r="L28" s="4"/>
      <c r="M28" s="4"/>
      <c r="N28" s="4"/>
    </row>
    <row r="29" spans="1:14" ht="91">
      <c r="A29" s="5"/>
      <c r="B29" s="4"/>
      <c r="C29" s="7" t="s">
        <v>202</v>
      </c>
      <c r="D29" s="8" t="s">
        <v>203</v>
      </c>
      <c r="E29" s="7" t="s">
        <v>204</v>
      </c>
      <c r="F29" s="8" t="s">
        <v>205</v>
      </c>
      <c r="H29" s="8" t="s">
        <v>206</v>
      </c>
      <c r="I29" s="4"/>
      <c r="J29" s="8" t="s">
        <v>207</v>
      </c>
      <c r="L29" s="4"/>
      <c r="M29" s="4"/>
      <c r="N29" s="4"/>
    </row>
    <row r="30" spans="1:14" ht="91">
      <c r="A30" s="5"/>
      <c r="B30" s="4"/>
      <c r="C30" s="7" t="s">
        <v>208</v>
      </c>
      <c r="D30" s="8" t="s">
        <v>209</v>
      </c>
      <c r="E30" s="7" t="s">
        <v>210</v>
      </c>
      <c r="F30" s="8" t="s">
        <v>211</v>
      </c>
      <c r="H30" s="8" t="s">
        <v>212</v>
      </c>
      <c r="I30" s="4"/>
      <c r="J30" s="8" t="s">
        <v>213</v>
      </c>
      <c r="L30" s="4"/>
      <c r="M30" s="4"/>
      <c r="N30" s="4"/>
    </row>
    <row r="31" spans="1:14">
      <c r="A31" s="9"/>
      <c r="B31" s="10"/>
      <c r="C31" s="10"/>
      <c r="D31" s="11"/>
      <c r="E31" s="10"/>
      <c r="F31" s="10"/>
      <c r="H31" s="8"/>
      <c r="I31" s="10"/>
      <c r="J31" s="10"/>
      <c r="L31" s="10"/>
      <c r="M31" s="10"/>
      <c r="N31" s="10"/>
    </row>
    <row r="32" spans="1:14">
      <c r="D32" s="3"/>
    </row>
    <row r="33" spans="4:4">
      <c r="D33" s="3"/>
    </row>
    <row r="34" spans="4:4">
      <c r="D34" s="3"/>
    </row>
    <row r="35" spans="4:4">
      <c r="D35" s="3"/>
    </row>
    <row r="36" spans="4:4">
      <c r="D36" s="3"/>
    </row>
    <row r="37" spans="4:4">
      <c r="D37" s="3"/>
    </row>
    <row r="38" spans="4:4">
      <c r="D38" s="3"/>
    </row>
    <row r="39" spans="4:4">
      <c r="D39" s="3"/>
    </row>
    <row r="40" spans="4:4">
      <c r="D40" s="3"/>
    </row>
    <row r="41" spans="4:4">
      <c r="D41" s="3"/>
    </row>
    <row r="42" spans="4:4">
      <c r="D42" s="3"/>
    </row>
    <row r="43" spans="4:4">
      <c r="D43" s="3"/>
    </row>
    <row r="44" spans="4:4">
      <c r="D44" s="3"/>
    </row>
    <row r="45" spans="4:4">
      <c r="D45" s="3"/>
    </row>
    <row r="46" spans="4:4">
      <c r="D46" s="3"/>
    </row>
    <row r="47" spans="4:4">
      <c r="D47" s="3"/>
    </row>
    <row r="48" spans="4:4">
      <c r="D48" s="3"/>
    </row>
    <row r="49" spans="4:4">
      <c r="D49" s="3"/>
    </row>
    <row r="50" spans="4:4">
      <c r="D50" s="3"/>
    </row>
    <row r="51" spans="4:4">
      <c r="D51" s="3"/>
    </row>
    <row r="52" spans="4:4">
      <c r="D52" s="3"/>
    </row>
    <row r="53" spans="4:4">
      <c r="D53" s="3"/>
    </row>
    <row r="54" spans="4:4">
      <c r="D54" s="3"/>
    </row>
    <row r="55" spans="4:4">
      <c r="D55" s="3"/>
    </row>
    <row r="56" spans="4:4">
      <c r="D56" s="3"/>
    </row>
    <row r="57" spans="4:4">
      <c r="D57" s="3"/>
    </row>
    <row r="58" spans="4:4">
      <c r="D58" s="3"/>
    </row>
    <row r="59" spans="4:4">
      <c r="D59" s="3"/>
    </row>
    <row r="60" spans="4:4">
      <c r="D60" s="3"/>
    </row>
    <row r="61" spans="4:4">
      <c r="D61" s="3"/>
    </row>
    <row r="62" spans="4:4">
      <c r="D62" s="3"/>
    </row>
    <row r="63" spans="4:4">
      <c r="D63" s="3"/>
    </row>
    <row r="64" spans="4:4">
      <c r="D64" s="3"/>
    </row>
    <row r="65" spans="4:4">
      <c r="D65" s="3"/>
    </row>
    <row r="66" spans="4:4">
      <c r="D66" s="3"/>
    </row>
    <row r="67" spans="4:4">
      <c r="D67" s="3"/>
    </row>
    <row r="68" spans="4:4">
      <c r="D68" s="3"/>
    </row>
    <row r="69" spans="4:4">
      <c r="D69" s="3"/>
    </row>
    <row r="70" spans="4:4">
      <c r="D70" s="3"/>
    </row>
    <row r="71" spans="4:4">
      <c r="D71" s="3"/>
    </row>
    <row r="72" spans="4:4">
      <c r="D72" s="3"/>
    </row>
    <row r="73" spans="4:4">
      <c r="D73" s="3"/>
    </row>
    <row r="74" spans="4:4">
      <c r="D74" s="3"/>
    </row>
    <row r="75" spans="4:4">
      <c r="D75" s="3"/>
    </row>
    <row r="76" spans="4:4">
      <c r="D76" s="3"/>
    </row>
    <row r="77" spans="4:4">
      <c r="D77" s="3"/>
    </row>
    <row r="78" spans="4:4">
      <c r="D78" s="3"/>
    </row>
    <row r="79" spans="4:4">
      <c r="D79" s="3"/>
    </row>
    <row r="80" spans="4:4">
      <c r="D80" s="3"/>
    </row>
    <row r="81" spans="4:4">
      <c r="D81" s="3"/>
    </row>
    <row r="82" spans="4:4">
      <c r="D82" s="3"/>
    </row>
    <row r="83" spans="4:4">
      <c r="D83" s="3"/>
    </row>
    <row r="84" spans="4:4">
      <c r="D84" s="3"/>
    </row>
  </sheetData>
  <sortState xmlns:xlrd2="http://schemas.microsoft.com/office/spreadsheetml/2017/richdata2" ref="A5:B17">
    <sortCondition descending="1" ref="B4:B17"/>
  </sortState>
  <mergeCells count="1">
    <mergeCell ref="A1: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5374C21C7A534190E28F8AA8A0EDED" ma:contentTypeVersion="7" ma:contentTypeDescription="Create a new document." ma:contentTypeScope="" ma:versionID="61f0123cddb0d424a9c67cc0b9655dca">
  <xsd:schema xmlns:xsd="http://www.w3.org/2001/XMLSchema" xmlns:xs="http://www.w3.org/2001/XMLSchema" xmlns:p="http://schemas.microsoft.com/office/2006/metadata/properties" xmlns:ns2="f0712dda-3c56-447a-8b58-04d805b04d82" targetNamespace="http://schemas.microsoft.com/office/2006/metadata/properties" ma:root="true" ma:fieldsID="6260e38c40d22f37ea354fa5df258f32" ns2:_="">
    <xsd:import namespace="f0712dda-3c56-447a-8b58-04d805b04d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12dda-3c56-447a-8b58-04d805b04d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F5CCFB-36D6-4082-B2C2-4DD21A4C33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712dda-3c56-447a-8b58-04d805b04d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46FF30-4187-4498-B116-4126ED1EB82E}">
  <ds:schemaRefs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f0712dda-3c56-447a-8b58-04d805b04d82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AAFB0F2-29F8-4310-9EBC-E43BE53730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Diego Jose Jaramillo Intriago</cp:lastModifiedBy>
  <cp:revision/>
  <dcterms:created xsi:type="dcterms:W3CDTF">2026-10-14T20:58:38Z</dcterms:created>
  <dcterms:modified xsi:type="dcterms:W3CDTF">2026-10-21T15:03:47Z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0x010100FD5374C21C7A534190E28F8AA8A0EDED</vt:lpwstr>
  </property>
</Properties>
</file>